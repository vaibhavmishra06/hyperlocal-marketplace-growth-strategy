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<sst xmlns="http://schemas.openxmlformats.org/spreadsheetml/2006/main" count="101" uniqueCount="83">
  <si>
    <t xml:space="preserve"> 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</si>
  <si>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</si>
  <si>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</si>
  <si>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</si>
  <si>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</si>
  <si>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</si>
  <si>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</si>
  <si>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</si>
  <si>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</si>
  <si>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</si>
  <si>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</si>
  <si>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</si>
  <si>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</si>
  <si>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No. of locaities in New delhi</t>
  </si>
  <si>
    <t>Average Order Value</t>
  </si>
  <si>
    <t xml:space="preserve">  </t>
  </si>
  <si>
    <t>Assumptions</t>
  </si>
  <si>
    <t>IN CASE OF EACH SKU HAVING THE SAME SHARE</t>
  </si>
  <si>
    <t>Avg. EP Payout</t>
  </si>
  <si>
    <t>SKU</t>
  </si>
  <si>
    <t>Price</t>
  </si>
  <si>
    <t>EP</t>
  </si>
  <si>
    <t>Share</t>
  </si>
  <si>
    <t>Comments</t>
  </si>
  <si>
    <t>Avg Margin</t>
  </si>
  <si>
    <t>Delivery/Pickup</t>
  </si>
  <si>
    <t>Metric</t>
  </si>
  <si>
    <t>Value</t>
  </si>
  <si>
    <t>Order/Day (O/D)</t>
  </si>
  <si>
    <t>Vendor Visit</t>
  </si>
  <si>
    <t>Average Order Value (AOV)</t>
  </si>
  <si>
    <t>~₹165</t>
  </si>
  <si>
    <t>GMV</t>
  </si>
  <si>
    <t>Counter Processing</t>
  </si>
  <si>
    <t>Average EP Payout</t>
  </si>
  <si>
    <t>~₹121</t>
  </si>
  <si>
    <t>Revenue</t>
  </si>
  <si>
    <t>Multi-stop assume 2 stop</t>
  </si>
  <si>
    <t>per stop add 40</t>
  </si>
  <si>
    <t>Average Margin</t>
  </si>
  <si>
    <t>~₹44</t>
  </si>
  <si>
    <t>EP Payout</t>
  </si>
  <si>
    <t>Discovery/Scouting</t>
  </si>
  <si>
    <t>Average Take Rate</t>
  </si>
  <si>
    <t>~26%</t>
  </si>
  <si>
    <t>GST</t>
  </si>
  <si>
    <t>Waiting</t>
  </si>
  <si>
    <t>Razorpay cost</t>
  </si>
  <si>
    <t>Senior Accompaniment</t>
  </si>
  <si>
    <t>Platform fee to be assumed at 400 dollars i.e. 40000</t>
  </si>
  <si>
    <t>Razorpay EP</t>
  </si>
  <si>
    <t>Lifting/Shifting</t>
  </si>
  <si>
    <t>UC:-</t>
  </si>
  <si>
    <t>Total Razorpay cut</t>
  </si>
  <si>
    <t>Home Organization</t>
  </si>
  <si>
    <t>Employees</t>
  </si>
  <si>
    <t>No. of Employees</t>
  </si>
  <si>
    <t>Gift Packing</t>
  </si>
  <si>
    <t>O/D</t>
  </si>
  <si>
    <t>Employee cost</t>
  </si>
  <si>
    <t>Shadow Assistant</t>
  </si>
  <si>
    <t>Ratio</t>
  </si>
  <si>
    <t>~35</t>
  </si>
  <si>
    <t>Platform fee</t>
  </si>
  <si>
    <t>Marketing fee</t>
  </si>
  <si>
    <t>Porter:-</t>
  </si>
  <si>
    <t>Net Profit (INR/month)</t>
  </si>
  <si>
    <t>AOV</t>
  </si>
  <si>
    <t>Avg EP payout</t>
  </si>
  <si>
    <t>~234</t>
  </si>
  <si>
    <t>Using staged ratio:-</t>
  </si>
  <si>
    <t xml:space="preserve">Phase 1 </t>
  </si>
  <si>
    <t>Phase 2</t>
  </si>
  <si>
    <t>Phase 3</t>
  </si>
  <si>
    <t>Phase 4</t>
  </si>
  <si>
    <t>0-500</t>
  </si>
  <si>
    <t>500-2000</t>
  </si>
  <si>
    <t>2000-10000</t>
  </si>
  <si>
    <t>10000+</t>
  </si>
  <si>
    <t>1:75</t>
  </si>
  <si>
    <t>1:120</t>
  </si>
  <si>
    <t>1:175</t>
  </si>
  <si>
    <t>1:225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</si>
</sst>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FF"/>
      <name val="Arial"/>
      <scheme val="minor"/>
    </font>
    <font>
      <color rgb="FF000000"/>
      <name val="Arial"/>
      <scheme val="minor"/>
    </font>
    <font>
      <b/>
      <color rgb="FF0000FF"/>
      <name val="Arial"/>
      <scheme val="minor"/>
    </font>
    <font>
      <b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3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4" xfId="0" applyAlignment="1" applyFont="1" applyNumberFormat="1">
      <alignment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right" readingOrder="0"/>
    </xf>
    <xf borderId="0" fillId="0" fontId="5" numFmtId="0" xfId="0" applyAlignment="1" applyFont="1">
      <alignment horizontal="right" readingOrder="0"/>
    </xf>
    <xf borderId="0" fillId="0" fontId="3" numFmtId="3" xfId="0" applyFont="1" applyNumberFormat="1"/>
    <xf borderId="0" fillId="0" fontId="4" numFmtId="0" xfId="0" applyAlignment="1" applyFont="1">
      <alignment horizontal="right" readingOrder="0"/>
    </xf>
    <xf borderId="0" fillId="0" fontId="3" numFmtId="9" xfId="0" applyAlignment="1" applyFont="1" applyNumberFormat="1">
      <alignment horizontal="right" readingOrder="0"/>
    </xf>
    <xf borderId="0" fillId="0" fontId="5" numFmtId="0" xfId="0" applyAlignment="1" applyFont="1">
      <alignment horizontal="center" readingOrder="0"/>
    </xf>
    <xf borderId="0" fillId="0" fontId="3" numFmtId="0" xfId="0" applyAlignment="1" applyFont="1">
      <alignment horizontal="right" readingOrder="0"/>
    </xf>
    <xf borderId="0" fillId="0" fontId="2" numFmtId="3" xfId="0" applyFont="1" applyNumberFormat="1"/>
    <xf borderId="0" fillId="0" fontId="2" numFmtId="3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0" fillId="0" fontId="3" numFmtId="10" xfId="0" applyAlignment="1" applyFont="1" applyNumberFormat="1">
      <alignment horizontal="right" readingOrder="0"/>
    </xf>
    <xf borderId="0" fillId="2" fontId="3" numFmtId="0" xfId="0" applyAlignment="1" applyFill="1" applyFont="1">
      <alignment readingOrder="0"/>
    </xf>
    <xf borderId="0" fillId="2" fontId="3" numFmtId="0" xfId="0" applyAlignment="1" applyFont="1">
      <alignment horizontal="right" readingOrder="0"/>
    </xf>
    <xf borderId="0" fillId="2" fontId="3" numFmtId="0" xfId="0" applyFont="1"/>
    <xf borderId="0" fillId="0" fontId="2" numFmtId="4" xfId="0" applyFont="1" applyNumberFormat="1"/>
    <xf borderId="0" fillId="2" fontId="5" numFmtId="0" xfId="0" applyAlignment="1" applyFont="1">
      <alignment horizontal="center" readingOrder="0"/>
    </xf>
    <xf borderId="0" fillId="0" fontId="2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31" max="31" width="24.25"/>
  </cols>
  <sheetData>
    <row r="1">
      <c r="B1" s="1">
        <v>2026.0</v>
      </c>
      <c r="I1" s="1">
        <v>2027.0</v>
      </c>
      <c r="U1" s="1">
        <v>2028.0</v>
      </c>
      <c r="Z1" s="2"/>
      <c r="AA1" s="2" t="s">
        <v>0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</v>
      </c>
      <c r="O2" s="2" t="s">
        <v>2</v>
      </c>
      <c r="P2" s="2" t="s">
        <v>3</v>
      </c>
      <c r="Q2" s="2" t="s">
        <v>4</v>
      </c>
      <c r="R2" s="2" t="s">
        <v>5</v>
      </c>
      <c r="S2" s="2" t="s">
        <v>6</v>
      </c>
      <c r="T2" s="2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AG2" s="3">
        <f>25*50/10</f>
        <v>125</v>
      </c>
    </row>
    <row r="3">
      <c r="A3" s="2" t="s">
        <v>13</v>
      </c>
      <c r="B3" s="4">
        <v>0.0</v>
      </c>
      <c r="C3" s="4">
        <v>0.0</v>
      </c>
      <c r="D3" s="4">
        <v>1.0</v>
      </c>
      <c r="E3" s="4">
        <v>1.0</v>
      </c>
      <c r="F3" s="4">
        <v>1.0</v>
      </c>
      <c r="G3" s="4">
        <v>4.0</v>
      </c>
      <c r="H3" s="4">
        <v>7.0</v>
      </c>
      <c r="I3" s="4">
        <v>10.0</v>
      </c>
      <c r="J3" s="4">
        <v>13.0</v>
      </c>
      <c r="K3" s="4">
        <v>16.0</v>
      </c>
      <c r="L3" s="4">
        <v>20.0</v>
      </c>
      <c r="M3" s="4">
        <v>24.0</v>
      </c>
      <c r="N3" s="4">
        <v>28.0</v>
      </c>
      <c r="O3" s="4">
        <v>32.0</v>
      </c>
      <c r="P3" s="4">
        <v>36.0</v>
      </c>
      <c r="Q3" s="4">
        <v>40.0</v>
      </c>
      <c r="R3" s="4">
        <v>45.0</v>
      </c>
      <c r="S3" s="4">
        <v>50.0</v>
      </c>
      <c r="T3" s="4">
        <v>55.0</v>
      </c>
      <c r="U3" s="4">
        <v>60.0</v>
      </c>
      <c r="V3" s="4">
        <v>65.0</v>
      </c>
      <c r="W3" s="4">
        <v>70.0</v>
      </c>
      <c r="X3" s="4">
        <v>75.0</v>
      </c>
      <c r="Y3" s="4">
        <v>80.0</v>
      </c>
    </row>
    <row r="4">
      <c r="A4" s="5" t="s">
        <v>14</v>
      </c>
      <c r="B4" s="4">
        <f t="shared" ref="B4:Y4" si="1">$AG$20</f>
        <v>146</v>
      </c>
      <c r="C4" s="4">
        <f t="shared" si="1"/>
        <v>146</v>
      </c>
      <c r="D4" s="4">
        <f t="shared" si="1"/>
        <v>146</v>
      </c>
      <c r="E4" s="4">
        <f t="shared" si="1"/>
        <v>146</v>
      </c>
      <c r="F4" s="4">
        <f t="shared" si="1"/>
        <v>146</v>
      </c>
      <c r="G4" s="4">
        <f t="shared" si="1"/>
        <v>146</v>
      </c>
      <c r="H4" s="4">
        <f t="shared" si="1"/>
        <v>146</v>
      </c>
      <c r="I4" s="4">
        <f t="shared" si="1"/>
        <v>146</v>
      </c>
      <c r="J4" s="4">
        <f t="shared" si="1"/>
        <v>146</v>
      </c>
      <c r="K4" s="4">
        <f t="shared" si="1"/>
        <v>146</v>
      </c>
      <c r="L4" s="4">
        <f t="shared" si="1"/>
        <v>146</v>
      </c>
      <c r="M4" s="4">
        <f t="shared" si="1"/>
        <v>146</v>
      </c>
      <c r="N4" s="4">
        <f t="shared" si="1"/>
        <v>146</v>
      </c>
      <c r="O4" s="4">
        <f t="shared" si="1"/>
        <v>146</v>
      </c>
      <c r="P4" s="4">
        <f t="shared" si="1"/>
        <v>146</v>
      </c>
      <c r="Q4" s="4">
        <f t="shared" si="1"/>
        <v>146</v>
      </c>
      <c r="R4" s="4">
        <f t="shared" si="1"/>
        <v>146</v>
      </c>
      <c r="S4" s="4">
        <f t="shared" si="1"/>
        <v>146</v>
      </c>
      <c r="T4" s="4">
        <f t="shared" si="1"/>
        <v>146</v>
      </c>
      <c r="U4" s="4">
        <f t="shared" si="1"/>
        <v>146</v>
      </c>
      <c r="V4" s="4">
        <f t="shared" si="1"/>
        <v>146</v>
      </c>
      <c r="W4" s="4">
        <f t="shared" si="1"/>
        <v>146</v>
      </c>
      <c r="X4" s="4">
        <f t="shared" si="1"/>
        <v>146</v>
      </c>
      <c r="Y4" s="4">
        <f t="shared" si="1"/>
        <v>146</v>
      </c>
      <c r="Z4" s="2"/>
      <c r="AE4" s="6" t="s">
        <v>15</v>
      </c>
      <c r="AF4" s="7" t="s">
        <v>16</v>
      </c>
      <c r="AG4" s="6"/>
      <c r="AH4" s="6"/>
      <c r="AI4" s="2"/>
      <c r="AJ4" s="1"/>
      <c r="AK4" s="1" t="s">
        <v>17</v>
      </c>
      <c r="AL4" s="2"/>
      <c r="AM4" s="2"/>
      <c r="AN4" s="2"/>
    </row>
    <row r="5">
      <c r="A5" s="2" t="s">
        <v>18</v>
      </c>
      <c r="B5" s="4">
        <f t="shared" ref="B5:Y5" si="2">$AG$21</f>
        <v>98</v>
      </c>
      <c r="C5" s="4">
        <f t="shared" si="2"/>
        <v>98</v>
      </c>
      <c r="D5" s="4">
        <f t="shared" si="2"/>
        <v>98</v>
      </c>
      <c r="E5" s="4">
        <f t="shared" si="2"/>
        <v>98</v>
      </c>
      <c r="F5" s="4">
        <f t="shared" si="2"/>
        <v>98</v>
      </c>
      <c r="G5" s="4">
        <f t="shared" si="2"/>
        <v>98</v>
      </c>
      <c r="H5" s="4">
        <f t="shared" si="2"/>
        <v>98</v>
      </c>
      <c r="I5" s="4">
        <f t="shared" si="2"/>
        <v>98</v>
      </c>
      <c r="J5" s="4">
        <f t="shared" si="2"/>
        <v>98</v>
      </c>
      <c r="K5" s="4">
        <f t="shared" si="2"/>
        <v>98</v>
      </c>
      <c r="L5" s="4">
        <f t="shared" si="2"/>
        <v>98</v>
      </c>
      <c r="M5" s="4">
        <f t="shared" si="2"/>
        <v>98</v>
      </c>
      <c r="N5" s="4">
        <f t="shared" si="2"/>
        <v>98</v>
      </c>
      <c r="O5" s="4">
        <f t="shared" si="2"/>
        <v>98</v>
      </c>
      <c r="P5" s="4">
        <f t="shared" si="2"/>
        <v>98</v>
      </c>
      <c r="Q5" s="4">
        <f t="shared" si="2"/>
        <v>98</v>
      </c>
      <c r="R5" s="4">
        <f t="shared" si="2"/>
        <v>98</v>
      </c>
      <c r="S5" s="4">
        <f t="shared" si="2"/>
        <v>98</v>
      </c>
      <c r="T5" s="4">
        <f t="shared" si="2"/>
        <v>98</v>
      </c>
      <c r="U5" s="4">
        <f t="shared" si="2"/>
        <v>98</v>
      </c>
      <c r="V5" s="4">
        <f t="shared" si="2"/>
        <v>98</v>
      </c>
      <c r="W5" s="4">
        <f t="shared" si="2"/>
        <v>98</v>
      </c>
      <c r="X5" s="4">
        <f t="shared" si="2"/>
        <v>98</v>
      </c>
      <c r="Y5" s="4">
        <f t="shared" si="2"/>
        <v>98</v>
      </c>
      <c r="Z5" s="8"/>
      <c r="AE5" s="9" t="s">
        <v>19</v>
      </c>
      <c r="AF5" s="10" t="s">
        <v>20</v>
      </c>
      <c r="AG5" s="10" t="s">
        <v>21</v>
      </c>
      <c r="AH5" s="11" t="s">
        <v>22</v>
      </c>
      <c r="AI5" s="2" t="s">
        <v>23</v>
      </c>
    </row>
    <row r="6">
      <c r="A6" s="2" t="s">
        <v>24</v>
      </c>
      <c r="B6" s="12">
        <f t="shared" ref="B6:Y6" si="3">B4-B5</f>
        <v>48</v>
      </c>
      <c r="C6" s="12">
        <f t="shared" si="3"/>
        <v>48</v>
      </c>
      <c r="D6" s="12">
        <f t="shared" si="3"/>
        <v>48</v>
      </c>
      <c r="E6" s="12">
        <f t="shared" si="3"/>
        <v>48</v>
      </c>
      <c r="F6" s="12">
        <f t="shared" si="3"/>
        <v>48</v>
      </c>
      <c r="G6" s="12">
        <f t="shared" si="3"/>
        <v>48</v>
      </c>
      <c r="H6" s="12">
        <f t="shared" si="3"/>
        <v>48</v>
      </c>
      <c r="I6" s="12">
        <f t="shared" si="3"/>
        <v>48</v>
      </c>
      <c r="J6" s="12">
        <f t="shared" si="3"/>
        <v>48</v>
      </c>
      <c r="K6" s="12">
        <f t="shared" si="3"/>
        <v>48</v>
      </c>
      <c r="L6" s="12">
        <f t="shared" si="3"/>
        <v>48</v>
      </c>
      <c r="M6" s="12">
        <f t="shared" si="3"/>
        <v>48</v>
      </c>
      <c r="N6" s="12">
        <f t="shared" si="3"/>
        <v>48</v>
      </c>
      <c r="O6" s="12">
        <f t="shared" si="3"/>
        <v>48</v>
      </c>
      <c r="P6" s="12">
        <f t="shared" si="3"/>
        <v>48</v>
      </c>
      <c r="Q6" s="12">
        <f t="shared" si="3"/>
        <v>48</v>
      </c>
      <c r="R6" s="12">
        <f t="shared" si="3"/>
        <v>48</v>
      </c>
      <c r="S6" s="12">
        <f t="shared" si="3"/>
        <v>48</v>
      </c>
      <c r="T6" s="12">
        <f t="shared" si="3"/>
        <v>48</v>
      </c>
      <c r="U6" s="12">
        <f t="shared" si="3"/>
        <v>48</v>
      </c>
      <c r="V6" s="12">
        <f t="shared" si="3"/>
        <v>48</v>
      </c>
      <c r="W6" s="12">
        <f t="shared" si="3"/>
        <v>48</v>
      </c>
      <c r="X6" s="12">
        <f t="shared" si="3"/>
        <v>48</v>
      </c>
      <c r="Y6" s="12">
        <f t="shared" si="3"/>
        <v>48</v>
      </c>
      <c r="Z6" s="2"/>
      <c r="AE6" s="5" t="s">
        <v>25</v>
      </c>
      <c r="AF6" s="13">
        <v>75.0</v>
      </c>
      <c r="AG6" s="13">
        <v>50.0</v>
      </c>
      <c r="AH6" s="14">
        <v>0.22</v>
      </c>
      <c r="AJ6" s="15"/>
      <c r="AK6" s="15" t="s">
        <v>26</v>
      </c>
      <c r="AL6" s="11" t="s">
        <v>27</v>
      </c>
    </row>
    <row r="7">
      <c r="A7" s="2" t="s">
        <v>28</v>
      </c>
      <c r="B7" s="4">
        <v>0.0</v>
      </c>
      <c r="C7" s="4">
        <v>0.0</v>
      </c>
      <c r="D7" s="4">
        <v>8.0</v>
      </c>
      <c r="E7" s="4">
        <v>20.0</v>
      </c>
      <c r="F7" s="4">
        <v>50.0</v>
      </c>
      <c r="G7" s="4">
        <v>180.0</v>
      </c>
      <c r="H7" s="4">
        <v>300.0</v>
      </c>
      <c r="I7" s="4">
        <v>440.0</v>
      </c>
      <c r="J7" s="4">
        <v>600.0</v>
      </c>
      <c r="K7" s="4">
        <v>780.0</v>
      </c>
      <c r="L7" s="4">
        <v>1100.0</v>
      </c>
      <c r="M7" s="4">
        <v>1600.0</v>
      </c>
      <c r="N7" s="4">
        <v>2300.0</v>
      </c>
      <c r="O7" s="4">
        <v>3400.0</v>
      </c>
      <c r="P7" s="4">
        <v>5000.0</v>
      </c>
      <c r="Q7" s="4">
        <v>6200.0</v>
      </c>
      <c r="R7" s="4">
        <v>7400.0</v>
      </c>
      <c r="S7" s="4">
        <v>8600.0</v>
      </c>
      <c r="T7" s="4">
        <v>9800.0</v>
      </c>
      <c r="U7" s="4">
        <v>11000.0</v>
      </c>
      <c r="V7" s="4">
        <v>12200.0</v>
      </c>
      <c r="W7" s="4">
        <v>13400.0</v>
      </c>
      <c r="X7" s="4">
        <v>14600.0</v>
      </c>
      <c r="Y7" s="4">
        <v>16000.0</v>
      </c>
      <c r="Z7" s="2"/>
      <c r="AE7" s="5" t="s">
        <v>29</v>
      </c>
      <c r="AF7" s="13">
        <v>100.0</v>
      </c>
      <c r="AG7" s="13">
        <v>70.0</v>
      </c>
      <c r="AH7" s="14">
        <v>0.18</v>
      </c>
      <c r="AJ7" s="6"/>
      <c r="AK7" s="6" t="s">
        <v>30</v>
      </c>
      <c r="AL7" s="16" t="s">
        <v>31</v>
      </c>
    </row>
    <row r="8">
      <c r="A8" s="2" t="s">
        <v>32</v>
      </c>
      <c r="B8" s="17">
        <f t="shared" ref="B8:Y8" si="4">B4*B7*30</f>
        <v>0</v>
      </c>
      <c r="C8" s="17">
        <f t="shared" si="4"/>
        <v>0</v>
      </c>
      <c r="D8" s="17">
        <f t="shared" si="4"/>
        <v>35040</v>
      </c>
      <c r="E8" s="17">
        <f t="shared" si="4"/>
        <v>87600</v>
      </c>
      <c r="F8" s="17">
        <f t="shared" si="4"/>
        <v>219000</v>
      </c>
      <c r="G8" s="17">
        <f t="shared" si="4"/>
        <v>788400</v>
      </c>
      <c r="H8" s="17">
        <f t="shared" si="4"/>
        <v>1314000</v>
      </c>
      <c r="I8" s="17">
        <f t="shared" si="4"/>
        <v>1927200</v>
      </c>
      <c r="J8" s="17">
        <f t="shared" si="4"/>
        <v>2628000</v>
      </c>
      <c r="K8" s="17">
        <f t="shared" si="4"/>
        <v>3416400</v>
      </c>
      <c r="L8" s="17">
        <f t="shared" si="4"/>
        <v>4818000</v>
      </c>
      <c r="M8" s="17">
        <f t="shared" si="4"/>
        <v>7008000</v>
      </c>
      <c r="N8" s="17">
        <f t="shared" si="4"/>
        <v>10074000</v>
      </c>
      <c r="O8" s="17">
        <f t="shared" si="4"/>
        <v>14892000</v>
      </c>
      <c r="P8" s="17">
        <f t="shared" si="4"/>
        <v>21900000</v>
      </c>
      <c r="Q8" s="17">
        <f t="shared" si="4"/>
        <v>27156000</v>
      </c>
      <c r="R8" s="17">
        <f t="shared" si="4"/>
        <v>32412000</v>
      </c>
      <c r="S8" s="17">
        <f t="shared" si="4"/>
        <v>37668000</v>
      </c>
      <c r="T8" s="17">
        <f t="shared" si="4"/>
        <v>42924000</v>
      </c>
      <c r="U8" s="17">
        <f t="shared" si="4"/>
        <v>48180000</v>
      </c>
      <c r="V8" s="17">
        <f t="shared" si="4"/>
        <v>53436000</v>
      </c>
      <c r="W8" s="17">
        <f t="shared" si="4"/>
        <v>58692000</v>
      </c>
      <c r="X8" s="17">
        <f t="shared" si="4"/>
        <v>63948000</v>
      </c>
      <c r="Y8" s="17">
        <f t="shared" si="4"/>
        <v>70080000</v>
      </c>
      <c r="Z8" s="2"/>
      <c r="AE8" s="5" t="s">
        <v>33</v>
      </c>
      <c r="AF8" s="13">
        <v>167.0</v>
      </c>
      <c r="AG8" s="13">
        <v>120.0</v>
      </c>
      <c r="AH8" s="14">
        <v>0.18</v>
      </c>
      <c r="AJ8" s="6"/>
      <c r="AK8" s="6" t="s">
        <v>34</v>
      </c>
      <c r="AL8" s="16" t="s">
        <v>35</v>
      </c>
    </row>
    <row r="9">
      <c r="A9" s="2" t="s">
        <v>36</v>
      </c>
      <c r="B9" s="17">
        <f t="shared" ref="B9:Y9" si="5">B7*B6*30</f>
        <v>0</v>
      </c>
      <c r="C9" s="17">
        <f t="shared" si="5"/>
        <v>0</v>
      </c>
      <c r="D9" s="17">
        <f t="shared" si="5"/>
        <v>11520</v>
      </c>
      <c r="E9" s="17">
        <f t="shared" si="5"/>
        <v>28800</v>
      </c>
      <c r="F9" s="17">
        <f t="shared" si="5"/>
        <v>72000</v>
      </c>
      <c r="G9" s="17">
        <f t="shared" si="5"/>
        <v>259200</v>
      </c>
      <c r="H9" s="17">
        <f t="shared" si="5"/>
        <v>432000</v>
      </c>
      <c r="I9" s="17">
        <f t="shared" si="5"/>
        <v>633600</v>
      </c>
      <c r="J9" s="17">
        <f t="shared" si="5"/>
        <v>864000</v>
      </c>
      <c r="K9" s="17">
        <f t="shared" si="5"/>
        <v>1123200</v>
      </c>
      <c r="L9" s="17">
        <f t="shared" si="5"/>
        <v>1584000</v>
      </c>
      <c r="M9" s="17">
        <f t="shared" si="5"/>
        <v>2304000</v>
      </c>
      <c r="N9" s="17">
        <f t="shared" si="5"/>
        <v>3312000</v>
      </c>
      <c r="O9" s="17">
        <f t="shared" si="5"/>
        <v>4896000</v>
      </c>
      <c r="P9" s="17">
        <f t="shared" si="5"/>
        <v>7200000</v>
      </c>
      <c r="Q9" s="17">
        <f t="shared" si="5"/>
        <v>8928000</v>
      </c>
      <c r="R9" s="17">
        <f t="shared" si="5"/>
        <v>10656000</v>
      </c>
      <c r="S9" s="17">
        <f t="shared" si="5"/>
        <v>12384000</v>
      </c>
      <c r="T9" s="17">
        <f t="shared" si="5"/>
        <v>14112000</v>
      </c>
      <c r="U9" s="17">
        <f t="shared" si="5"/>
        <v>15840000</v>
      </c>
      <c r="V9" s="17">
        <f t="shared" si="5"/>
        <v>17568000</v>
      </c>
      <c r="W9" s="17">
        <f t="shared" si="5"/>
        <v>19296000</v>
      </c>
      <c r="X9" s="17">
        <f t="shared" si="5"/>
        <v>21024000</v>
      </c>
      <c r="Y9" s="17">
        <f t="shared" si="5"/>
        <v>23040000</v>
      </c>
      <c r="Z9" s="2"/>
      <c r="AE9" s="5" t="s">
        <v>37</v>
      </c>
      <c r="AF9" s="13">
        <v>170.0</v>
      </c>
      <c r="AG9" s="13">
        <v>110.0</v>
      </c>
      <c r="AH9" s="14">
        <v>0.1</v>
      </c>
      <c r="AI9" s="2" t="s">
        <v>38</v>
      </c>
      <c r="AJ9" s="6"/>
      <c r="AK9" s="6" t="s">
        <v>39</v>
      </c>
      <c r="AL9" s="16" t="s">
        <v>40</v>
      </c>
    </row>
    <row r="10">
      <c r="A10" s="2" t="s">
        <v>41</v>
      </c>
      <c r="B10" s="17">
        <f t="shared" ref="B10:Y10" si="6">B7*B5*30</f>
        <v>0</v>
      </c>
      <c r="C10" s="17">
        <f t="shared" si="6"/>
        <v>0</v>
      </c>
      <c r="D10" s="17">
        <f t="shared" si="6"/>
        <v>23520</v>
      </c>
      <c r="E10" s="17">
        <f t="shared" si="6"/>
        <v>58800</v>
      </c>
      <c r="F10" s="17">
        <f t="shared" si="6"/>
        <v>147000</v>
      </c>
      <c r="G10" s="17">
        <f t="shared" si="6"/>
        <v>529200</v>
      </c>
      <c r="H10" s="17">
        <f t="shared" si="6"/>
        <v>882000</v>
      </c>
      <c r="I10" s="17">
        <f t="shared" si="6"/>
        <v>1293600</v>
      </c>
      <c r="J10" s="17">
        <f t="shared" si="6"/>
        <v>1764000</v>
      </c>
      <c r="K10" s="17">
        <f t="shared" si="6"/>
        <v>2293200</v>
      </c>
      <c r="L10" s="17">
        <f t="shared" si="6"/>
        <v>3234000</v>
      </c>
      <c r="M10" s="17">
        <f t="shared" si="6"/>
        <v>4704000</v>
      </c>
      <c r="N10" s="17">
        <f t="shared" si="6"/>
        <v>6762000</v>
      </c>
      <c r="O10" s="17">
        <f t="shared" si="6"/>
        <v>9996000</v>
      </c>
      <c r="P10" s="17">
        <f t="shared" si="6"/>
        <v>14700000</v>
      </c>
      <c r="Q10" s="17">
        <f t="shared" si="6"/>
        <v>18228000</v>
      </c>
      <c r="R10" s="17">
        <f t="shared" si="6"/>
        <v>21756000</v>
      </c>
      <c r="S10" s="17">
        <f t="shared" si="6"/>
        <v>25284000</v>
      </c>
      <c r="T10" s="17">
        <f t="shared" si="6"/>
        <v>28812000</v>
      </c>
      <c r="U10" s="17">
        <f t="shared" si="6"/>
        <v>32340000</v>
      </c>
      <c r="V10" s="17">
        <f t="shared" si="6"/>
        <v>35868000</v>
      </c>
      <c r="W10" s="17">
        <f t="shared" si="6"/>
        <v>39396000</v>
      </c>
      <c r="X10" s="17">
        <f t="shared" si="6"/>
        <v>42924000</v>
      </c>
      <c r="Y10" s="17">
        <f t="shared" si="6"/>
        <v>47040000</v>
      </c>
      <c r="Z10" s="2"/>
      <c r="AE10" s="5" t="s">
        <v>42</v>
      </c>
      <c r="AF10" s="13">
        <v>180.0</v>
      </c>
      <c r="AG10" s="13">
        <v>120.0</v>
      </c>
      <c r="AH10" s="14">
        <v>0.1</v>
      </c>
      <c r="AJ10" s="6"/>
      <c r="AK10" s="6" t="s">
        <v>43</v>
      </c>
      <c r="AL10" s="16" t="s">
        <v>44</v>
      </c>
    </row>
    <row r="11">
      <c r="A11" s="2" t="s">
        <v>45</v>
      </c>
      <c r="B11" s="17">
        <f t="shared" ref="B11:Y11" si="7">(18*B9)/100</f>
        <v>0</v>
      </c>
      <c r="C11" s="17">
        <f t="shared" si="7"/>
        <v>0</v>
      </c>
      <c r="D11" s="17">
        <f t="shared" si="7"/>
        <v>2073.6</v>
      </c>
      <c r="E11" s="17">
        <f t="shared" si="7"/>
        <v>5184</v>
      </c>
      <c r="F11" s="17">
        <f t="shared" si="7"/>
        <v>12960</v>
      </c>
      <c r="G11" s="17">
        <f t="shared" si="7"/>
        <v>46656</v>
      </c>
      <c r="H11" s="17">
        <f t="shared" si="7"/>
        <v>77760</v>
      </c>
      <c r="I11" s="17">
        <f t="shared" si="7"/>
        <v>114048</v>
      </c>
      <c r="J11" s="17">
        <f t="shared" si="7"/>
        <v>155520</v>
      </c>
      <c r="K11" s="17">
        <f t="shared" si="7"/>
        <v>202176</v>
      </c>
      <c r="L11" s="17">
        <f t="shared" si="7"/>
        <v>285120</v>
      </c>
      <c r="M11" s="17">
        <f t="shared" si="7"/>
        <v>414720</v>
      </c>
      <c r="N11" s="17">
        <f t="shared" si="7"/>
        <v>596160</v>
      </c>
      <c r="O11" s="17">
        <f t="shared" si="7"/>
        <v>881280</v>
      </c>
      <c r="P11" s="17">
        <f t="shared" si="7"/>
        <v>1296000</v>
      </c>
      <c r="Q11" s="17">
        <f t="shared" si="7"/>
        <v>1607040</v>
      </c>
      <c r="R11" s="17">
        <f t="shared" si="7"/>
        <v>1918080</v>
      </c>
      <c r="S11" s="17">
        <f t="shared" si="7"/>
        <v>2229120</v>
      </c>
      <c r="T11" s="17">
        <f t="shared" si="7"/>
        <v>2540160</v>
      </c>
      <c r="U11" s="17">
        <f t="shared" si="7"/>
        <v>2851200</v>
      </c>
      <c r="V11" s="17">
        <f t="shared" si="7"/>
        <v>3162240</v>
      </c>
      <c r="W11" s="17">
        <f t="shared" si="7"/>
        <v>3473280</v>
      </c>
      <c r="X11" s="17">
        <f t="shared" si="7"/>
        <v>3784320</v>
      </c>
      <c r="Y11" s="17">
        <f t="shared" si="7"/>
        <v>4147200</v>
      </c>
      <c r="Z11" s="2"/>
      <c r="AE11" s="5" t="s">
        <v>46</v>
      </c>
      <c r="AF11" s="13">
        <v>150.0</v>
      </c>
      <c r="AG11" s="13">
        <v>120.0</v>
      </c>
      <c r="AH11" s="14">
        <v>0.07</v>
      </c>
      <c r="AJ11" s="6"/>
    </row>
    <row r="12">
      <c r="A12" s="2" t="s">
        <v>47</v>
      </c>
      <c r="B12" s="17">
        <f t="shared" ref="B12:Y12" si="8">(2*B4*B7*30)/100</f>
        <v>0</v>
      </c>
      <c r="C12" s="17">
        <f t="shared" si="8"/>
        <v>0</v>
      </c>
      <c r="D12" s="17">
        <f t="shared" si="8"/>
        <v>700.8</v>
      </c>
      <c r="E12" s="17">
        <f t="shared" si="8"/>
        <v>1752</v>
      </c>
      <c r="F12" s="17">
        <f t="shared" si="8"/>
        <v>4380</v>
      </c>
      <c r="G12" s="17">
        <f t="shared" si="8"/>
        <v>15768</v>
      </c>
      <c r="H12" s="17">
        <f t="shared" si="8"/>
        <v>26280</v>
      </c>
      <c r="I12" s="17">
        <f t="shared" si="8"/>
        <v>38544</v>
      </c>
      <c r="J12" s="17">
        <f t="shared" si="8"/>
        <v>52560</v>
      </c>
      <c r="K12" s="17">
        <f t="shared" si="8"/>
        <v>68328</v>
      </c>
      <c r="L12" s="17">
        <f t="shared" si="8"/>
        <v>96360</v>
      </c>
      <c r="M12" s="17">
        <f t="shared" si="8"/>
        <v>140160</v>
      </c>
      <c r="N12" s="17">
        <f t="shared" si="8"/>
        <v>201480</v>
      </c>
      <c r="O12" s="17">
        <f t="shared" si="8"/>
        <v>297840</v>
      </c>
      <c r="P12" s="17">
        <f t="shared" si="8"/>
        <v>438000</v>
      </c>
      <c r="Q12" s="17">
        <f t="shared" si="8"/>
        <v>543120</v>
      </c>
      <c r="R12" s="17">
        <f t="shared" si="8"/>
        <v>648240</v>
      </c>
      <c r="S12" s="17">
        <f t="shared" si="8"/>
        <v>753360</v>
      </c>
      <c r="T12" s="17">
        <f t="shared" si="8"/>
        <v>858480</v>
      </c>
      <c r="U12" s="17">
        <f t="shared" si="8"/>
        <v>963600</v>
      </c>
      <c r="V12" s="17">
        <f t="shared" si="8"/>
        <v>1068720</v>
      </c>
      <c r="W12" s="17">
        <f t="shared" si="8"/>
        <v>1173840</v>
      </c>
      <c r="X12" s="17">
        <f t="shared" si="8"/>
        <v>1278960</v>
      </c>
      <c r="Y12" s="17">
        <f t="shared" si="8"/>
        <v>1401600</v>
      </c>
      <c r="Z12" s="2"/>
      <c r="AE12" s="5" t="s">
        <v>48</v>
      </c>
      <c r="AF12" s="13">
        <v>388.0</v>
      </c>
      <c r="AG12" s="13">
        <v>200.0</v>
      </c>
      <c r="AH12" s="14">
        <v>0.04</v>
      </c>
      <c r="AK12" s="2" t="s">
        <v>49</v>
      </c>
    </row>
    <row r="13">
      <c r="A13" s="2" t="s">
        <v>50</v>
      </c>
      <c r="B13" s="18">
        <f t="shared" ref="B13:C13" si="9">(2*B10*30)/100</f>
        <v>0</v>
      </c>
      <c r="C13" s="18">
        <f t="shared" si="9"/>
        <v>0</v>
      </c>
      <c r="D13" s="18">
        <f t="shared" ref="D13:Y13" si="10">(2*D10)/100</f>
        <v>470.4</v>
      </c>
      <c r="E13" s="18">
        <f t="shared" si="10"/>
        <v>1176</v>
      </c>
      <c r="F13" s="18">
        <f t="shared" si="10"/>
        <v>2940</v>
      </c>
      <c r="G13" s="18">
        <f t="shared" si="10"/>
        <v>10584</v>
      </c>
      <c r="H13" s="18">
        <f t="shared" si="10"/>
        <v>17640</v>
      </c>
      <c r="I13" s="18">
        <f t="shared" si="10"/>
        <v>25872</v>
      </c>
      <c r="J13" s="18">
        <f t="shared" si="10"/>
        <v>35280</v>
      </c>
      <c r="K13" s="18">
        <f t="shared" si="10"/>
        <v>45864</v>
      </c>
      <c r="L13" s="18">
        <f t="shared" si="10"/>
        <v>64680</v>
      </c>
      <c r="M13" s="18">
        <f t="shared" si="10"/>
        <v>94080</v>
      </c>
      <c r="N13" s="18">
        <f t="shared" si="10"/>
        <v>135240</v>
      </c>
      <c r="O13" s="18">
        <f t="shared" si="10"/>
        <v>199920</v>
      </c>
      <c r="P13" s="18">
        <f t="shared" si="10"/>
        <v>294000</v>
      </c>
      <c r="Q13" s="18">
        <f t="shared" si="10"/>
        <v>364560</v>
      </c>
      <c r="R13" s="18">
        <f t="shared" si="10"/>
        <v>435120</v>
      </c>
      <c r="S13" s="18">
        <f t="shared" si="10"/>
        <v>505680</v>
      </c>
      <c r="T13" s="18">
        <f t="shared" si="10"/>
        <v>576240</v>
      </c>
      <c r="U13" s="18">
        <f t="shared" si="10"/>
        <v>646800</v>
      </c>
      <c r="V13" s="18">
        <f t="shared" si="10"/>
        <v>717360</v>
      </c>
      <c r="W13" s="18">
        <f t="shared" si="10"/>
        <v>787920</v>
      </c>
      <c r="X13" s="18">
        <f t="shared" si="10"/>
        <v>858480</v>
      </c>
      <c r="Y13" s="18">
        <f t="shared" si="10"/>
        <v>940800</v>
      </c>
      <c r="Z13" s="2"/>
      <c r="AE13" s="5" t="s">
        <v>51</v>
      </c>
      <c r="AF13" s="13">
        <v>156.0</v>
      </c>
      <c r="AG13" s="13">
        <v>140.0</v>
      </c>
      <c r="AH13" s="14">
        <v>0.04</v>
      </c>
      <c r="AK13" s="2" t="s">
        <v>52</v>
      </c>
    </row>
    <row r="14">
      <c r="A14" s="2" t="s">
        <v>53</v>
      </c>
      <c r="B14" s="17">
        <f t="shared" ref="B14:Y14" si="11">B12+B13</f>
        <v>0</v>
      </c>
      <c r="C14" s="17">
        <f t="shared" si="11"/>
        <v>0</v>
      </c>
      <c r="D14" s="17">
        <f t="shared" si="11"/>
        <v>1171.2</v>
      </c>
      <c r="E14" s="17">
        <f t="shared" si="11"/>
        <v>2928</v>
      </c>
      <c r="F14" s="17">
        <f t="shared" si="11"/>
        <v>7320</v>
      </c>
      <c r="G14" s="17">
        <f t="shared" si="11"/>
        <v>26352</v>
      </c>
      <c r="H14" s="17">
        <f t="shared" si="11"/>
        <v>43920</v>
      </c>
      <c r="I14" s="17">
        <f t="shared" si="11"/>
        <v>64416</v>
      </c>
      <c r="J14" s="17">
        <f t="shared" si="11"/>
        <v>87840</v>
      </c>
      <c r="K14" s="17">
        <f t="shared" si="11"/>
        <v>114192</v>
      </c>
      <c r="L14" s="17">
        <f t="shared" si="11"/>
        <v>161040</v>
      </c>
      <c r="M14" s="17">
        <f t="shared" si="11"/>
        <v>234240</v>
      </c>
      <c r="N14" s="17">
        <f t="shared" si="11"/>
        <v>336720</v>
      </c>
      <c r="O14" s="17">
        <f t="shared" si="11"/>
        <v>497760</v>
      </c>
      <c r="P14" s="17">
        <f t="shared" si="11"/>
        <v>732000</v>
      </c>
      <c r="Q14" s="17">
        <f t="shared" si="11"/>
        <v>907680</v>
      </c>
      <c r="R14" s="17">
        <f t="shared" si="11"/>
        <v>1083360</v>
      </c>
      <c r="S14" s="17">
        <f t="shared" si="11"/>
        <v>1259040</v>
      </c>
      <c r="T14" s="17">
        <f t="shared" si="11"/>
        <v>1434720</v>
      </c>
      <c r="U14" s="17">
        <f t="shared" si="11"/>
        <v>1610400</v>
      </c>
      <c r="V14" s="17">
        <f t="shared" si="11"/>
        <v>1786080</v>
      </c>
      <c r="W14" s="17">
        <f t="shared" si="11"/>
        <v>1961760</v>
      </c>
      <c r="X14" s="17">
        <f t="shared" si="11"/>
        <v>2137440</v>
      </c>
      <c r="Y14" s="17">
        <f t="shared" si="11"/>
        <v>2342400</v>
      </c>
      <c r="Z14" s="2"/>
      <c r="AE14" s="5" t="s">
        <v>54</v>
      </c>
      <c r="AF14" s="13">
        <v>262.0</v>
      </c>
      <c r="AG14" s="13">
        <v>125.0</v>
      </c>
      <c r="AH14" s="14">
        <v>0.03</v>
      </c>
      <c r="AK14" s="2" t="s">
        <v>55</v>
      </c>
      <c r="AL14" s="2">
        <v>1450.0</v>
      </c>
    </row>
    <row r="15">
      <c r="A15" s="5" t="s">
        <v>56</v>
      </c>
      <c r="B15" s="19">
        <f t="shared" ref="B15:Y15" si="12">IF(B7&lt;=500,INT(B7/75)+1,
IF(B7&lt;=2000,INT(B7/120)+1,
IF(B7&lt;=10000,INT(B7/175)+1,
INT(B7/225)+1)))</f>
        <v>1</v>
      </c>
      <c r="C15" s="19">
        <f t="shared" si="12"/>
        <v>1</v>
      </c>
      <c r="D15" s="19">
        <f t="shared" si="12"/>
        <v>1</v>
      </c>
      <c r="E15" s="19">
        <f t="shared" si="12"/>
        <v>1</v>
      </c>
      <c r="F15" s="19">
        <f t="shared" si="12"/>
        <v>1</v>
      </c>
      <c r="G15" s="19">
        <f t="shared" si="12"/>
        <v>3</v>
      </c>
      <c r="H15" s="19">
        <f t="shared" si="12"/>
        <v>5</v>
      </c>
      <c r="I15" s="19">
        <f t="shared" si="12"/>
        <v>6</v>
      </c>
      <c r="J15" s="19">
        <f t="shared" si="12"/>
        <v>6</v>
      </c>
      <c r="K15" s="19">
        <f t="shared" si="12"/>
        <v>7</v>
      </c>
      <c r="L15" s="19">
        <f t="shared" si="12"/>
        <v>10</v>
      </c>
      <c r="M15" s="19">
        <f t="shared" si="12"/>
        <v>14</v>
      </c>
      <c r="N15" s="19">
        <f t="shared" si="12"/>
        <v>14</v>
      </c>
      <c r="O15" s="19">
        <f t="shared" si="12"/>
        <v>20</v>
      </c>
      <c r="P15" s="19">
        <f t="shared" si="12"/>
        <v>29</v>
      </c>
      <c r="Q15" s="19">
        <f t="shared" si="12"/>
        <v>36</v>
      </c>
      <c r="R15" s="19">
        <f t="shared" si="12"/>
        <v>43</v>
      </c>
      <c r="S15" s="19">
        <f t="shared" si="12"/>
        <v>50</v>
      </c>
      <c r="T15" s="19">
        <f t="shared" si="12"/>
        <v>57</v>
      </c>
      <c r="U15" s="19">
        <f t="shared" si="12"/>
        <v>49</v>
      </c>
      <c r="V15" s="19">
        <f t="shared" si="12"/>
        <v>55</v>
      </c>
      <c r="W15" s="19">
        <f t="shared" si="12"/>
        <v>60</v>
      </c>
      <c r="X15" s="19">
        <f t="shared" si="12"/>
        <v>65</v>
      </c>
      <c r="Y15" s="19">
        <f t="shared" si="12"/>
        <v>72</v>
      </c>
      <c r="AE15" s="5" t="s">
        <v>57</v>
      </c>
      <c r="AF15" s="13">
        <v>167.0</v>
      </c>
      <c r="AG15" s="13">
        <v>125.0</v>
      </c>
      <c r="AH15" s="20">
        <v>0.02</v>
      </c>
      <c r="AJ15" s="2"/>
      <c r="AK15" s="2" t="s">
        <v>58</v>
      </c>
      <c r="AL15" s="2">
        <v>50000.0</v>
      </c>
    </row>
    <row r="16">
      <c r="A16" s="2" t="s">
        <v>59</v>
      </c>
      <c r="B16" s="18">
        <f t="shared" ref="B16:Y16" si="13">B15*30000</f>
        <v>30000</v>
      </c>
      <c r="C16" s="18">
        <f t="shared" si="13"/>
        <v>30000</v>
      </c>
      <c r="D16" s="18">
        <f t="shared" si="13"/>
        <v>30000</v>
      </c>
      <c r="E16" s="18">
        <f t="shared" si="13"/>
        <v>30000</v>
      </c>
      <c r="F16" s="18">
        <f t="shared" si="13"/>
        <v>30000</v>
      </c>
      <c r="G16" s="18">
        <f t="shared" si="13"/>
        <v>90000</v>
      </c>
      <c r="H16" s="18">
        <f t="shared" si="13"/>
        <v>150000</v>
      </c>
      <c r="I16" s="18">
        <f t="shared" si="13"/>
        <v>180000</v>
      </c>
      <c r="J16" s="18">
        <f t="shared" si="13"/>
        <v>180000</v>
      </c>
      <c r="K16" s="18">
        <f t="shared" si="13"/>
        <v>210000</v>
      </c>
      <c r="L16" s="18">
        <f t="shared" si="13"/>
        <v>300000</v>
      </c>
      <c r="M16" s="18">
        <f t="shared" si="13"/>
        <v>420000</v>
      </c>
      <c r="N16" s="18">
        <f t="shared" si="13"/>
        <v>420000</v>
      </c>
      <c r="O16" s="18">
        <f t="shared" si="13"/>
        <v>600000</v>
      </c>
      <c r="P16" s="18">
        <f t="shared" si="13"/>
        <v>870000</v>
      </c>
      <c r="Q16" s="18">
        <f t="shared" si="13"/>
        <v>1080000</v>
      </c>
      <c r="R16" s="18">
        <f t="shared" si="13"/>
        <v>1290000</v>
      </c>
      <c r="S16" s="18">
        <f t="shared" si="13"/>
        <v>1500000</v>
      </c>
      <c r="T16" s="18">
        <f t="shared" si="13"/>
        <v>1710000</v>
      </c>
      <c r="U16" s="18">
        <f t="shared" si="13"/>
        <v>1470000</v>
      </c>
      <c r="V16" s="18">
        <f t="shared" si="13"/>
        <v>1650000</v>
      </c>
      <c r="W16" s="18">
        <f t="shared" si="13"/>
        <v>1800000</v>
      </c>
      <c r="X16" s="18">
        <f t="shared" si="13"/>
        <v>1950000</v>
      </c>
      <c r="Y16" s="18">
        <f t="shared" si="13"/>
        <v>2160000</v>
      </c>
      <c r="Z16" s="2"/>
      <c r="AE16" s="5" t="s">
        <v>60</v>
      </c>
      <c r="AF16" s="13">
        <v>125.0</v>
      </c>
      <c r="AG16" s="13">
        <v>100.0</v>
      </c>
      <c r="AH16" s="20">
        <v>0.02</v>
      </c>
      <c r="AJ16" s="2"/>
      <c r="AK16" s="2" t="s">
        <v>61</v>
      </c>
      <c r="AL16" s="3">
        <f>AL15/AL14</f>
        <v>34.48275862</v>
      </c>
      <c r="AM16" s="2" t="s">
        <v>62</v>
      </c>
    </row>
    <row r="17">
      <c r="A17" s="2" t="s">
        <v>63</v>
      </c>
      <c r="B17" s="4">
        <v>0.0</v>
      </c>
      <c r="C17" s="4">
        <v>0.0</v>
      </c>
      <c r="D17" s="4">
        <v>40000.0</v>
      </c>
      <c r="E17" s="4">
        <v>40000.0</v>
      </c>
      <c r="F17" s="4">
        <v>40000.0</v>
      </c>
      <c r="G17" s="4">
        <v>40000.0</v>
      </c>
      <c r="H17" s="4">
        <v>40000.0</v>
      </c>
      <c r="I17" s="4">
        <v>40000.0</v>
      </c>
      <c r="J17" s="4">
        <v>40000.0</v>
      </c>
      <c r="K17" s="4">
        <v>40000.0</v>
      </c>
      <c r="L17" s="4">
        <v>40000.0</v>
      </c>
      <c r="M17" s="4">
        <v>40000.0</v>
      </c>
      <c r="N17" s="4">
        <v>40000.0</v>
      </c>
      <c r="O17" s="4">
        <v>40000.0</v>
      </c>
      <c r="P17" s="4">
        <v>40000.0</v>
      </c>
      <c r="Q17" s="4">
        <v>40000.0</v>
      </c>
      <c r="R17" s="4">
        <v>40000.0</v>
      </c>
      <c r="S17" s="4">
        <v>40000.0</v>
      </c>
      <c r="T17" s="4">
        <v>40000.0</v>
      </c>
      <c r="U17" s="4">
        <v>40000.0</v>
      </c>
      <c r="V17" s="4">
        <v>40000.0</v>
      </c>
      <c r="W17" s="4">
        <v>40000.0</v>
      </c>
      <c r="X17" s="4">
        <v>40000.0</v>
      </c>
      <c r="Y17" s="4">
        <v>40000.0</v>
      </c>
      <c r="Z17" s="2"/>
      <c r="AJ17" s="2"/>
    </row>
    <row r="18">
      <c r="A18" s="2" t="s">
        <v>64</v>
      </c>
      <c r="B18" s="18">
        <v>0.0</v>
      </c>
      <c r="C18" s="18">
        <v>0.0</v>
      </c>
      <c r="D18" s="18">
        <v>100000.0</v>
      </c>
      <c r="E18" s="18">
        <v>300000.0</v>
      </c>
      <c r="F18" s="17">
        <f t="shared" ref="F18:Y18" si="14">E18+(E18*20)/100</f>
        <v>360000</v>
      </c>
      <c r="G18" s="17">
        <f t="shared" si="14"/>
        <v>432000</v>
      </c>
      <c r="H18" s="17">
        <f t="shared" si="14"/>
        <v>518400</v>
      </c>
      <c r="I18" s="17">
        <f t="shared" si="14"/>
        <v>622080</v>
      </c>
      <c r="J18" s="17">
        <f t="shared" si="14"/>
        <v>746496</v>
      </c>
      <c r="K18" s="17">
        <f t="shared" si="14"/>
        <v>895795.2</v>
      </c>
      <c r="L18" s="17">
        <f t="shared" si="14"/>
        <v>1074954.24</v>
      </c>
      <c r="M18" s="17">
        <f t="shared" si="14"/>
        <v>1289945.088</v>
      </c>
      <c r="N18" s="17">
        <f t="shared" si="14"/>
        <v>1547934.106</v>
      </c>
      <c r="O18" s="17">
        <f t="shared" si="14"/>
        <v>1857520.927</v>
      </c>
      <c r="P18" s="17">
        <f t="shared" si="14"/>
        <v>2229025.112</v>
      </c>
      <c r="Q18" s="17">
        <f t="shared" si="14"/>
        <v>2674830.134</v>
      </c>
      <c r="R18" s="17">
        <f t="shared" si="14"/>
        <v>3209796.161</v>
      </c>
      <c r="S18" s="17">
        <f t="shared" si="14"/>
        <v>3851755.394</v>
      </c>
      <c r="T18" s="17">
        <f t="shared" si="14"/>
        <v>4622106.472</v>
      </c>
      <c r="U18" s="17">
        <f t="shared" si="14"/>
        <v>5546527.767</v>
      </c>
      <c r="V18" s="17">
        <f t="shared" si="14"/>
        <v>6655833.32</v>
      </c>
      <c r="W18" s="17">
        <f t="shared" si="14"/>
        <v>7986999.984</v>
      </c>
      <c r="X18" s="17">
        <f t="shared" si="14"/>
        <v>9584399.981</v>
      </c>
      <c r="Y18" s="17">
        <f t="shared" si="14"/>
        <v>11501279.98</v>
      </c>
      <c r="AF18" s="21"/>
      <c r="AG18" s="22"/>
      <c r="AH18" s="23"/>
      <c r="AJ18" s="2"/>
      <c r="AK18" s="2" t="s">
        <v>65</v>
      </c>
    </row>
    <row r="19"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AF19" s="21"/>
      <c r="AG19" s="22"/>
      <c r="AH19" s="23"/>
      <c r="AK19" s="2" t="s">
        <v>55</v>
      </c>
      <c r="AL19" s="2">
        <v>3000.0</v>
      </c>
    </row>
    <row r="20">
      <c r="A20" s="2" t="s">
        <v>66</v>
      </c>
      <c r="B20" s="17">
        <f t="shared" ref="B20:Y20" si="15">B9-(B14+B11+B16+B17+B18)</f>
        <v>-30000</v>
      </c>
      <c r="C20" s="17">
        <f t="shared" si="15"/>
        <v>-30000</v>
      </c>
      <c r="D20" s="17">
        <f t="shared" si="15"/>
        <v>-161724.8</v>
      </c>
      <c r="E20" s="17">
        <f t="shared" si="15"/>
        <v>-349312</v>
      </c>
      <c r="F20" s="17">
        <f t="shared" si="15"/>
        <v>-378280</v>
      </c>
      <c r="G20" s="17">
        <f t="shared" si="15"/>
        <v>-375808</v>
      </c>
      <c r="H20" s="17">
        <f t="shared" si="15"/>
        <v>-398080</v>
      </c>
      <c r="I20" s="17">
        <f t="shared" si="15"/>
        <v>-386944</v>
      </c>
      <c r="J20" s="17">
        <f t="shared" si="15"/>
        <v>-345856</v>
      </c>
      <c r="K20" s="17">
        <f t="shared" si="15"/>
        <v>-338963.2</v>
      </c>
      <c r="L20" s="17">
        <f t="shared" si="15"/>
        <v>-277114.24</v>
      </c>
      <c r="M20" s="17">
        <f t="shared" si="15"/>
        <v>-94905.088</v>
      </c>
      <c r="N20" s="17">
        <f t="shared" si="15"/>
        <v>371185.8944</v>
      </c>
      <c r="O20" s="17">
        <f t="shared" si="15"/>
        <v>1019439.073</v>
      </c>
      <c r="P20" s="17">
        <f t="shared" si="15"/>
        <v>2032974.888</v>
      </c>
      <c r="Q20" s="17">
        <f t="shared" si="15"/>
        <v>2618449.866</v>
      </c>
      <c r="R20" s="17">
        <f t="shared" si="15"/>
        <v>3114763.839</v>
      </c>
      <c r="S20" s="17">
        <f t="shared" si="15"/>
        <v>3504084.606</v>
      </c>
      <c r="T20" s="17">
        <f t="shared" si="15"/>
        <v>3765013.528</v>
      </c>
      <c r="U20" s="17">
        <f t="shared" si="15"/>
        <v>4321872.233</v>
      </c>
      <c r="V20" s="17">
        <f t="shared" si="15"/>
        <v>4273846.68</v>
      </c>
      <c r="W20" s="17">
        <f t="shared" si="15"/>
        <v>4033960.016</v>
      </c>
      <c r="X20" s="17">
        <f t="shared" si="15"/>
        <v>3527840.019</v>
      </c>
      <c r="Y20" s="17">
        <f t="shared" si="15"/>
        <v>2849120.023</v>
      </c>
      <c r="AE20" s="2" t="s">
        <v>67</v>
      </c>
      <c r="AF20" s="23">
        <f>SUMPRODUCT(AF6:AF16,AH6:AH16)</f>
        <v>145.52</v>
      </c>
      <c r="AG20" s="21">
        <f t="shared" ref="AG20:AG21" si="16">ROUND(AF20,0)</f>
        <v>146</v>
      </c>
      <c r="AH20" s="23"/>
      <c r="AJ20" s="2"/>
      <c r="AK20" s="2" t="s">
        <v>58</v>
      </c>
      <c r="AL20" s="2">
        <v>700000.0</v>
      </c>
    </row>
    <row r="21"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AE21" s="2" t="s">
        <v>68</v>
      </c>
      <c r="AF21" s="25">
        <f>SUMPRODUCT(AG6:AG16,AH6:AH16)</f>
        <v>98.45</v>
      </c>
      <c r="AG21" s="21">
        <f t="shared" si="16"/>
        <v>98</v>
      </c>
      <c r="AH21" s="21"/>
      <c r="AJ21" s="2"/>
      <c r="AK21" s="2" t="s">
        <v>61</v>
      </c>
      <c r="AL21" s="3">
        <f>AL20/AL19</f>
        <v>233.3333333</v>
      </c>
      <c r="AM21" s="2" t="s">
        <v>69</v>
      </c>
    </row>
    <row r="22">
      <c r="C22" s="3">
        <f>700*50*2</f>
        <v>70000</v>
      </c>
      <c r="AE22" s="2" t="s">
        <v>24</v>
      </c>
      <c r="AF22" s="21">
        <f t="shared" ref="AF22:AG22" si="17">AF20-AF21</f>
        <v>47.07</v>
      </c>
      <c r="AG22" s="21">
        <f t="shared" si="17"/>
        <v>48</v>
      </c>
      <c r="AH22" s="23"/>
      <c r="AJ22" s="2"/>
    </row>
    <row r="23">
      <c r="AF23" s="21"/>
      <c r="AG23" s="22"/>
      <c r="AH23" s="23"/>
      <c r="AJ23" s="2"/>
      <c r="AK23" s="2" t="s">
        <v>70</v>
      </c>
    </row>
    <row r="24">
      <c r="AF24" s="21"/>
      <c r="AG24" s="22"/>
      <c r="AH24" s="23"/>
      <c r="AK24" s="2" t="s">
        <v>71</v>
      </c>
      <c r="AL24" s="2" t="s">
        <v>72</v>
      </c>
      <c r="AM24" s="2" t="s">
        <v>73</v>
      </c>
      <c r="AN24" s="2" t="s">
        <v>74</v>
      </c>
    </row>
    <row r="25">
      <c r="AI25" s="2" t="s">
        <v>58</v>
      </c>
      <c r="AJ25" s="2"/>
      <c r="AK25" s="2" t="s">
        <v>75</v>
      </c>
      <c r="AL25" s="2" t="s">
        <v>76</v>
      </c>
      <c r="AM25" s="2" t="s">
        <v>77</v>
      </c>
      <c r="AN25" s="2" t="s">
        <v>78</v>
      </c>
    </row>
    <row r="26">
      <c r="AI26" s="2" t="s">
        <v>61</v>
      </c>
      <c r="AJ26" s="2"/>
      <c r="AK26" s="26" t="s">
        <v>79</v>
      </c>
      <c r="AL26" s="26" t="s">
        <v>80</v>
      </c>
      <c r="AM26" s="26" t="s">
        <v>81</v>
      </c>
      <c r="AN26" s="26" t="s">
        <v>82</v>
      </c>
    </row>
    <row r="27">
      <c r="AJ27" s="2"/>
    </row>
    <row r="29">
      <c r="AJ29" s="26"/>
    </row>
  </sheetData>
  <drawing r:id="rId1"/>
</worksheet>
</file>